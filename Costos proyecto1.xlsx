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isa\Downloads\"/>
    </mc:Choice>
  </mc:AlternateContent>
  <xr:revisionPtr revIDLastSave="0" documentId="13_ncr:1_{37349E3D-A3DC-46E9-A04C-2173E528D469}" xr6:coauthVersionLast="47" xr6:coauthVersionMax="47" xr10:uidLastSave="{00000000-0000-0000-0000-000000000000}"/>
  <bookViews>
    <workbookView xWindow="-120" yWindow="-120" windowWidth="20730" windowHeight="11040" xr2:uid="{4AFDE064-75D0-42AC-9EF8-EA27E0BCBB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8" i="1" l="1"/>
  <c r="D20" i="1"/>
  <c r="D19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<sst xmlns="http://schemas.openxmlformats.org/spreadsheetml/2006/main" count="22" uniqueCount="22">
  <si>
    <t>MATERIALES</t>
  </si>
  <si>
    <t>COSTOS</t>
  </si>
  <si>
    <t xml:space="preserve">SUMATORIA </t>
  </si>
  <si>
    <t>Resistencia 10ohm a 10w</t>
  </si>
  <si>
    <t>N°</t>
  </si>
  <si>
    <t>Resistencia de 1/2W</t>
  </si>
  <si>
    <t>2.2 *50</t>
  </si>
  <si>
    <t>cabeza estereo 1X1 1.5 min</t>
  </si>
  <si>
    <t>bolsa</t>
  </si>
  <si>
    <t>PCB</t>
  </si>
  <si>
    <t>Resistencia de 50w</t>
  </si>
  <si>
    <t>Cableado</t>
  </si>
  <si>
    <t>Carcasa del parlante</t>
  </si>
  <si>
    <t>Puerto Jack y Resistencias</t>
  </si>
  <si>
    <t>Flux y estaño</t>
  </si>
  <si>
    <t>TABLA DE COSTOS PROY 1: AMPLIFICADOR POR FASES</t>
  </si>
  <si>
    <t>TOTAL GASTOS</t>
  </si>
  <si>
    <t>Parlante</t>
  </si>
  <si>
    <t>Capacitor10x5v</t>
  </si>
  <si>
    <t>Capacitor 1000X506</t>
  </si>
  <si>
    <t>Capacitor 100X25</t>
  </si>
  <si>
    <t>Dicipador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</si>
</sst>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3" fontId="0" fillId="0" borderId="0" xfId="0" applyNumberFormat="1"/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 xr9:uid="{7D56BE20-5CC6-41AA-A61F-BDE01B6D728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0AEF64-AEA9-4D51-8D23-044E5B33D869}" name="Tabla1" displayName="Tabla1" ref="A3:D21" totalsRowCount="1">
  <autoFilter ref="A3:D20" xr:uid="{EB0AEF64-AEA9-4D51-8D23-044E5B33D869}"/>
  <sortState xmlns:xlrd2="http://schemas.microsoft.com/office/spreadsheetml/2017/richdata2" ref="B3">
    <sortCondition ref="B3:B4"/>
  </sortState>
  <tableColumns count="4">
    <tableColumn id="4" xr3:uid="{D9C5A97B-44E1-4CA6-B231-8ACD10087829}" name="N°"/>
    <tableColumn id="1" xr3:uid="{4C26FA59-47C3-40D2-92AF-2AD8B9783CF6}" name="MATERIALES"/>
    <tableColumn id="2" xr3:uid="{73432800-0AD4-4AAF-A6F8-81F870C930DE}" name="COSTOS"/>
    <tableColumn id="3" xr3:uid="{9F6A1DBD-A3A8-41AD-B6CF-C565E075A107}" name="SUMATORIA ">
      <calculatedColumnFormula>SUM($C$1:C4)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8596A-F0F5-4F59-9584-AD48F9E39429}">
  <dimension ref="A2:D20"/>
  <sheetViews>
    <sheetView tabSelected="1" topLeftCell="A3" zoomScale="94" workbookViewId="0">
      <selection activeCell="B12" sqref="B12"/>
    </sheetView>
  </sheetViews>
  <sheetFormatPr baseColWidth="10" defaultRowHeight="15" x14ac:dyDescent="0.25"/>
  <cols>
    <col min="1" max="1" width="8.5703125" customWidth="1"/>
    <col min="2" max="2" width="27.140625" customWidth="1"/>
  </cols>
  <sheetData>
    <row r="2" spans="1:4" s="1" customFormat="1" ht="46.9" customHeight="1" x14ac:dyDescent="0.3">
      <c r="A2" s="2" t="s">
        <v>15</v>
      </c>
      <c r="B2" s="3"/>
      <c r="C2" s="3"/>
      <c r="D2" s="3"/>
    </row>
    <row r="3" spans="1:4" ht="31.9" customHeight="1" x14ac:dyDescent="0.25">
      <c r="A3" t="s">
        <v>4</v>
      </c>
      <c r="B3" t="s">
        <v>0</v>
      </c>
      <c r="C3" t="s">
        <v>1</v>
      </c>
      <c r="D3" t="s">
        <v>2</v>
      </c>
    </row>
    <row r="4" spans="1:4" ht="31.9" customHeight="1" x14ac:dyDescent="0.25">
      <c r="A4">
        <v>2</v>
      </c>
      <c r="B4" t="s">
        <v>3</v>
      </c>
      <c r="C4" s="4">
        <v>2000</v>
      </c>
      <c r="D4">
        <f>SUM($C$1:C4)</f>
        <v>2000</v>
      </c>
    </row>
    <row r="5" spans="1:4" x14ac:dyDescent="0.25">
      <c r="A5">
        <v>2</v>
      </c>
      <c r="B5" t="s">
        <v>18</v>
      </c>
      <c r="C5">
        <v>600</v>
      </c>
      <c r="D5">
        <f>SUM($C$1:C5)</f>
        <v>2600</v>
      </c>
    </row>
    <row r="6" spans="1:4" x14ac:dyDescent="0.25">
      <c r="A6">
        <v>24</v>
      </c>
      <c r="B6" t="s">
        <v>5</v>
      </c>
      <c r="C6">
        <v>2400</v>
      </c>
      <c r="D6">
        <f>SUM($C$1:C6)</f>
        <v>5000</v>
      </c>
    </row>
    <row r="7" spans="1:4" x14ac:dyDescent="0.25">
      <c r="A7">
        <v>1</v>
      </c>
      <c r="B7" t="s">
        <v>19</v>
      </c>
      <c r="C7">
        <v>1500</v>
      </c>
      <c r="D7">
        <f>SUM($C$1:C7)</f>
        <v>6500</v>
      </c>
    </row>
    <row r="8" spans="1:4" x14ac:dyDescent="0.25">
      <c r="A8">
        <v>2</v>
      </c>
      <c r="B8" t="s">
        <v>20</v>
      </c>
      <c r="C8">
        <v>600</v>
      </c>
      <c r="D8">
        <f>SUM($C$1:C8)</f>
        <v>7100</v>
      </c>
    </row>
    <row r="9" spans="1:4" x14ac:dyDescent="0.25">
      <c r="A9">
        <v>2</v>
      </c>
      <c r="B9" t="s">
        <v>6</v>
      </c>
      <c r="C9">
        <v>600</v>
      </c>
      <c r="D9">
        <f>SUM($C$1:C9)</f>
        <v>7700</v>
      </c>
    </row>
    <row r="10" spans="1:4" x14ac:dyDescent="0.25">
      <c r="A10">
        <v>1</v>
      </c>
      <c r="B10" t="s">
        <v>7</v>
      </c>
      <c r="C10">
        <v>5000</v>
      </c>
      <c r="D10">
        <f>SUM($C$1:C10)</f>
        <v>12700</v>
      </c>
    </row>
    <row r="11" spans="1:4" x14ac:dyDescent="0.25">
      <c r="A11">
        <v>1</v>
      </c>
      <c r="B11" t="s">
        <v>8</v>
      </c>
      <c r="C11">
        <v>100</v>
      </c>
      <c r="D11">
        <f>SUM($C$1:C11)</f>
        <v>12800</v>
      </c>
    </row>
    <row r="12" spans="1:4" x14ac:dyDescent="0.25">
      <c r="A12">
        <v>1</v>
      </c>
      <c r="B12" t="s">
        <v>21</v>
      </c>
      <c r="C12">
        <v>10000</v>
      </c>
      <c r="D12">
        <f>SUM($C$1:C12)</f>
        <v>22800</v>
      </c>
    </row>
    <row r="13" spans="1:4" x14ac:dyDescent="0.25">
      <c r="A13">
        <v>1</v>
      </c>
      <c r="B13" t="s">
        <v>9</v>
      </c>
      <c r="C13">
        <v>22500</v>
      </c>
      <c r="D13">
        <f>SUM($C$1:C13)</f>
        <v>45300</v>
      </c>
    </row>
    <row r="14" spans="1:4" x14ac:dyDescent="0.25">
      <c r="A14">
        <v>1</v>
      </c>
      <c r="B14" t="s">
        <v>10</v>
      </c>
      <c r="C14">
        <v>7500</v>
      </c>
      <c r="D14">
        <f>SUM($C$1:C14)</f>
        <v>52800</v>
      </c>
    </row>
    <row r="15" spans="1:4" x14ac:dyDescent="0.25">
      <c r="A15">
        <v>1</v>
      </c>
      <c r="B15" t="s">
        <v>12</v>
      </c>
      <c r="C15">
        <v>30000</v>
      </c>
      <c r="D15">
        <f>SUM($C$1:C15)</f>
        <v>82800</v>
      </c>
    </row>
    <row r="16" spans="1:4" x14ac:dyDescent="0.25">
      <c r="A16">
        <v>2</v>
      </c>
      <c r="B16" t="s">
        <v>13</v>
      </c>
      <c r="C16">
        <v>5500</v>
      </c>
      <c r="D16">
        <f>SUM($C$1:C16)</f>
        <v>88300</v>
      </c>
    </row>
    <row r="17" spans="1:4" x14ac:dyDescent="0.25">
      <c r="A17">
        <v>2</v>
      </c>
      <c r="B17" t="s">
        <v>14</v>
      </c>
      <c r="C17">
        <v>5000</v>
      </c>
      <c r="D17">
        <f>SUM($C$1:C17)</f>
        <v>93300</v>
      </c>
    </row>
    <row r="18" spans="1:4" x14ac:dyDescent="0.25">
      <c r="A18">
        <v>1</v>
      </c>
      <c r="B18" t="s">
        <v>17</v>
      </c>
      <c r="C18">
        <v>16000</v>
      </c>
      <c r="D18">
        <f>SUM($C$1:C18)</f>
        <v>109300</v>
      </c>
    </row>
    <row r="19" spans="1:4" x14ac:dyDescent="0.25">
      <c r="A19">
        <v>2</v>
      </c>
      <c r="B19" t="s">
        <v>11</v>
      </c>
      <c r="C19">
        <v>4200</v>
      </c>
      <c r="D19">
        <f>SUM($C$1:C19)</f>
        <v>113500</v>
      </c>
    </row>
    <row r="20" spans="1:4" x14ac:dyDescent="0.25">
      <c r="B20" t="s">
        <v>16</v>
      </c>
      <c r="D20">
        <f>SUM($C$1:C20)</f>
        <v>113500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MERCADO HENAO</dc:creator>
  <cp:lastModifiedBy>LUISA FERNANDA PENARANDA NOGUERA</cp:lastModifiedBy>
  <dcterms:created xsi:type="dcterms:W3CDTF">2026-03-16T05:12:13Z</dcterms:created>
  <dcterms:modified xsi:type="dcterms:W3CDTF">2026-03-16T23:20:12Z</dcterms:modified>
</cp:coreProperties>
</file>